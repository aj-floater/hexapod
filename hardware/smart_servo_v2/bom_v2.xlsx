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chiejames/coding/hexapod/hardware/smart_servo_v2/"/>
    </mc:Choice>
  </mc:AlternateContent>
  <xr:revisionPtr revIDLastSave="0" documentId="13_ncr:1_{B1149535-3302-BB45-A143-40BA693CAF4D}" xr6:coauthVersionLast="47" xr6:coauthVersionMax="47" xr10:uidLastSave="{00000000-0000-0000-0000-000000000000}"/>
  <bookViews>
    <workbookView xWindow="-38400" yWindow="-3100" windowWidth="38400" windowHeight="21100" xr2:uid="{00000000-000D-0000-FFFF-FFFF00000000}"/>
  </bookViews>
  <sheets>
    <sheet name="Order Form" sheetId="1" r:id="rId1"/>
  </sheets>
  <definedNames>
    <definedName name="_xlnm.Print_Titles" localSheetId="0">'Order Form'!$1:$9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5" i="1" l="1"/>
  <c r="M42" i="1"/>
  <c r="N42" i="1"/>
  <c r="M41" i="1"/>
  <c r="N41" i="1"/>
  <c r="M40" i="1"/>
  <c r="N40" i="1"/>
  <c r="M39" i="1"/>
  <c r="N39" i="1"/>
  <c r="H39" i="1"/>
  <c r="H40" i="1"/>
  <c r="H41" i="1"/>
  <c r="H42" i="1"/>
  <c r="H43" i="1"/>
  <c r="H44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6" i="1"/>
  <c r="M37" i="1"/>
  <c r="M10" i="1"/>
  <c r="H29" i="1"/>
  <c r="H30" i="1"/>
  <c r="H31" i="1"/>
  <c r="H32" i="1"/>
  <c r="H33" i="1"/>
  <c r="H34" i="1"/>
  <c r="H35" i="1"/>
  <c r="H36" i="1"/>
  <c r="H37" i="1"/>
  <c r="H38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10" i="1"/>
  <c r="H45" i="1" l="1"/>
  <c r="H46" i="1" s="1"/>
  <c r="H47" i="1" s="1"/>
</calcChain>
</file>

<file path=xl/sharedStrings.xml><?xml version="1.0" encoding="utf-8"?>
<sst xmlns="http://schemas.openxmlformats.org/spreadsheetml/2006/main" count="143" uniqueCount="97">
  <si>
    <t>Company</t>
  </si>
  <si>
    <t>Item Description</t>
  </si>
  <si>
    <t>Quantity</t>
  </si>
  <si>
    <t>Item cost</t>
  </si>
  <si>
    <t>Total cost</t>
  </si>
  <si>
    <t>Order request date</t>
  </si>
  <si>
    <t>Office use</t>
  </si>
  <si>
    <t>Office use only</t>
  </si>
  <si>
    <t>Ordered by</t>
  </si>
  <si>
    <t>Order date</t>
  </si>
  <si>
    <t>Requisition number</t>
  </si>
  <si>
    <t>URL from Supplier Website</t>
  </si>
  <si>
    <t xml:space="preserve">ORDER TOTAL EXCL VAT  </t>
  </si>
  <si>
    <t xml:space="preserve">VAT  </t>
  </si>
  <si>
    <t xml:space="preserve">ORDER TOTAL INCL VAT  </t>
  </si>
  <si>
    <t>Reason for purchase</t>
  </si>
  <si>
    <t>Implications if the order is not placed</t>
  </si>
  <si>
    <t>Department of Electrical &amp; Electronic Engineering          3rd year Project - Order Request</t>
  </si>
  <si>
    <t>Student name</t>
  </si>
  <si>
    <t>AA code</t>
  </si>
  <si>
    <t>Supervisor name</t>
  </si>
  <si>
    <t xml:space="preserve"> Supervisor's  email </t>
  </si>
  <si>
    <r>
      <t>Please be sure to quote prices in</t>
    </r>
    <r>
      <rPr>
        <i/>
        <u/>
        <sz val="11"/>
        <color theme="1"/>
        <rFont val="Calibri"/>
        <family val="2"/>
        <scheme val="minor"/>
      </rPr>
      <t>cluding</t>
    </r>
    <r>
      <rPr>
        <i/>
        <sz val="11"/>
        <color theme="1"/>
        <rFont val="Calibri"/>
        <family val="2"/>
        <scheme val="minor"/>
      </rPr>
      <t xml:space="preserve"> VAT</t>
    </r>
  </si>
  <si>
    <t>Cost of shipping</t>
  </si>
  <si>
    <t>Imported from Outside UK</t>
  </si>
  <si>
    <t>Must follow and complete guidance and documents found here: https://www.staffnet.manchester.ac.uk/finance/purchasing/importing-goods/</t>
  </si>
  <si>
    <t>Unpolarized capacitor, small symbol</t>
  </si>
  <si>
    <t>Unpolarized capacitor</t>
  </si>
  <si>
    <t>Crystal, 12 MHz, SMD, 3.2mm x 2.5mm, 30 ppm, 10 pF, 30 ppm, ABM8 Series</t>
  </si>
  <si>
    <t>Winbond NOR 32Mbit SPI Flash Memory 8-Pin SOIC, W25Q32JVSSIQ/TUBE</t>
  </si>
  <si>
    <t>Texas Instruments DRV8837DSGR, Brushed DC Motor Motor Driver IC, 7 V 1.8 A 8-Pin, WSON</t>
  </si>
  <si>
    <t>Switching Voltage Regulators 3A 24V 500kHz Sync buck</t>
  </si>
  <si>
    <t>Voltage Reference, Precision, Shunt - Adjustable, AEC-Q100 TL431 Series, 2.495V to 36V, SOT-23-3</t>
  </si>
  <si>
    <t>Linear Voltage Regulator IC Positive Fixed 1 Output 300mA SOT-23-3</t>
  </si>
  <si>
    <t>Inductor</t>
  </si>
  <si>
    <t>Light emitting diode</t>
  </si>
  <si>
    <t>A microcontroller by Raspberry Pi</t>
  </si>
  <si>
    <t>Resistor, small symbol</t>
  </si>
  <si>
    <t>Resistor</t>
  </si>
  <si>
    <t>JST PH Connector 01x03</t>
  </si>
  <si>
    <t>JST PH Connector 01x05</t>
  </si>
  <si>
    <t>https://uk.rs-online.com/web/p/mlccs-multilayer-ceramic-capacitors/7882880</t>
  </si>
  <si>
    <t>https://uk.rs-online.com/web/p/mlccs-multilayer-ceramic-capacitors/3936659</t>
  </si>
  <si>
    <t>https://uk.rs-online.com/web/p/mlccs-multilayer-ceramic-capacitors/8015237P</t>
  </si>
  <si>
    <t>https://uk.rs-online.com/web/p/mlccs-multilayer-ceramic-capacitors/4612708</t>
  </si>
  <si>
    <t>https://uk.rs-online.com/web/p/mlccs-multilayer-ceramic-capacitors/8847260</t>
  </si>
  <si>
    <t>https://uk.rs-online.com/web/p/pcb-headers/8201431?gb=a</t>
  </si>
  <si>
    <t>https://uk.rs-online.com/web/p/pcb-headers/8201438?gb=a</t>
  </si>
  <si>
    <t>https://uk.rs-online.com/web/p/pcb-headers/8201551?gb=a</t>
  </si>
  <si>
    <t>https://uk.farnell.com/abracon/abm8-272-t3/crystal-12mhz-10pf-3-2mm-x-2-5mm/dp/4331750?MER=RV-ECOM6127</t>
  </si>
  <si>
    <t>https://uk.rs-online.com/web/p/flash-memory/1712228</t>
  </si>
  <si>
    <t>https://uk.rs-online.com/web/p/motor-driver-ics/2264762?gb=a</t>
  </si>
  <si>
    <t>https://uk.farnell.com/monolithic-power-systems-mps/mp2315gj-p/dc-dc-conv-sync-buck-500khz-125deg/dp/3357980?MER=RV-ECOM6127</t>
  </si>
  <si>
    <t>https://uk.farnell.com/c/semiconductors-ics/power-management-ics-pmic/voltage-references?st=TL431IDBZR%2C215</t>
  </si>
  <si>
    <t>https://uk.farnell.com/diodes-inc/ap7370-33sa-7/ldo-fixed-3-3v-0-3a-40-to-85deg/dp/3518342?MER=RV-ECOM6127</t>
  </si>
  <si>
    <t>https://uk.rs-online.com/web/p/surface-mount-inductors/8193582?gb=a</t>
  </si>
  <si>
    <t>https://uk.rs-online.com/web/p/leds/2790658</t>
  </si>
  <si>
    <t>https://uk.farnell.com/raspberry-pi/rp2040ct/mcu-32bit-133mhz-1-8v-to-3-3v/dp/3766082</t>
  </si>
  <si>
    <t>https://uk.farnell.com/koa/rk73h1jttd7501f/res-7k5-1-0-1w-0603-thick-film/dp/4009140</t>
  </si>
  <si>
    <t>https://uk.rs-online.com/web/p/surface-mount-resistors/7217340</t>
  </si>
  <si>
    <t>https://uk.farnell.com/panasonic/erjup3j200v/res-20r-5-0-25w-0603/dp/3579466</t>
  </si>
  <si>
    <t>https://uk.rs-online.com/web/p/surface-mount-resistors/8206754P</t>
  </si>
  <si>
    <t>https://uk.rs-online.com/web/p/surface-mount-resistors/0287612</t>
  </si>
  <si>
    <t>https://uk.rs-online.com/web/p/surface-mount-resistors/8206824</t>
  </si>
  <si>
    <t>https://uk.farnell.com/multicomp-pro/mcwf08r4022btl/res-40k2-0-1-0-125w-0805-thin/dp/2337837</t>
  </si>
  <si>
    <t>https://uk.farnell.com/panasonic/erj6geyj753v/res-75k-5-0-125w-0805-thick-film/dp/2323867</t>
  </si>
  <si>
    <t>https://uk.rs-online.com/web/p/surface-mount-resistors/1985682</t>
  </si>
  <si>
    <t>Components on servo driver PCB</t>
  </si>
  <si>
    <t>Cannot finish PCB</t>
  </si>
  <si>
    <t>RS Components</t>
  </si>
  <si>
    <t>Farnell</t>
  </si>
  <si>
    <t>Actual Qty Per Board</t>
  </si>
  <si>
    <t>Ordered Qty -- Actual Qty</t>
  </si>
  <si>
    <t>Ordered Qty -- Actual Qty * 6</t>
  </si>
  <si>
    <t>No. Required for next order</t>
  </si>
  <si>
    <t>Personal Calculations</t>
  </si>
  <si>
    <t>Archie James</t>
  </si>
  <si>
    <t>Michael O'Toole</t>
  </si>
  <si>
    <t>AA18001</t>
  </si>
  <si>
    <t>michael.otoole@manchester.ac.uk</t>
  </si>
  <si>
    <t>https://uk.rs-online.com/web/p/wire-housings-plugs/8201475</t>
  </si>
  <si>
    <t>JST PH Header 01x03</t>
  </si>
  <si>
    <t>JST PH Header 01x05</t>
  </si>
  <si>
    <t>JST XH Header 01x03</t>
  </si>
  <si>
    <t>https://uk.rs-online.com/web/p/wire-housings-plugs/8201472?gb=a</t>
  </si>
  <si>
    <t>JST XH Connector 01x04</t>
  </si>
  <si>
    <t>https://uk.rs-online.com/web/p/crimp-contacts/8201456</t>
  </si>
  <si>
    <t>JST PH Series Female Crimp Terminal</t>
  </si>
  <si>
    <t>https://uk.rs-online.com/web/p/wire-housings-plugs/8201618</t>
  </si>
  <si>
    <t>https://uk.rs-online.com/web/p/crimp-contacts/8201529</t>
  </si>
  <si>
    <t>JST XH Series Female Crimp Terminal</t>
  </si>
  <si>
    <t>Wire Connectors</t>
  </si>
  <si>
    <t>Cannot connect PCB to servos or power it</t>
  </si>
  <si>
    <t>https://uk.rs-online.com/web/p/raspberry-pi-hats-add-ons/0219258?gb=a</t>
  </si>
  <si>
    <t>Raspberry Pi Debug Probe</t>
  </si>
  <si>
    <t>Board Programmer &amp; Debugger</t>
  </si>
  <si>
    <t>Cannot program &amp; debug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</si>
</sst>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&quot;£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164" fontId="0" fillId="0" borderId="7" xfId="0" applyNumberFormat="1" applyBorder="1" applyAlignment="1">
      <alignment horizontal="left"/>
    </xf>
    <xf numFmtId="0" fontId="0" fillId="0" borderId="0" xfId="0" applyAlignment="1">
      <alignment horizontal="right"/>
    </xf>
    <xf numFmtId="165" fontId="0" fillId="0" borderId="10" xfId="0" applyNumberFormat="1" applyBorder="1"/>
    <xf numFmtId="0" fontId="1" fillId="0" borderId="0" xfId="0" applyFont="1" applyAlignment="1">
      <alignment horizontal="right"/>
    </xf>
    <xf numFmtId="165" fontId="1" fillId="0" borderId="9" xfId="0" applyNumberFormat="1" applyFont="1" applyBorder="1"/>
    <xf numFmtId="0" fontId="6" fillId="0" borderId="0" xfId="0" applyFont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6" xfId="0" applyBorder="1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/>
    <xf numFmtId="0" fontId="0" fillId="0" borderId="0" xfId="0" applyBorder="1"/>
    <xf numFmtId="0" fontId="0" fillId="0" borderId="23" xfId="0" applyBorder="1"/>
    <xf numFmtId="0" fontId="0" fillId="0" borderId="26" xfId="0" applyBorder="1"/>
    <xf numFmtId="0" fontId="7" fillId="0" borderId="15" xfId="1" applyBorder="1"/>
    <xf numFmtId="0" fontId="0" fillId="0" borderId="27" xfId="0" applyBorder="1"/>
    <xf numFmtId="0" fontId="0" fillId="0" borderId="17" xfId="0" applyBorder="1"/>
    <xf numFmtId="0" fontId="0" fillId="0" borderId="28" xfId="0" applyBorder="1"/>
    <xf numFmtId="165" fontId="0" fillId="0" borderId="29" xfId="0" applyNumberFormat="1" applyBorder="1"/>
    <xf numFmtId="0" fontId="0" fillId="0" borderId="19" xfId="0" applyBorder="1"/>
    <xf numFmtId="0" fontId="0" fillId="0" borderId="20" xfId="0" applyBorder="1"/>
    <xf numFmtId="0" fontId="0" fillId="0" borderId="30" xfId="0" applyBorder="1" applyAlignment="1">
      <alignment horizontal="center" vertical="center"/>
    </xf>
    <xf numFmtId="165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8" fillId="0" borderId="1" xfId="0" applyFont="1" applyBorder="1"/>
    <xf numFmtId="0" fontId="0" fillId="0" borderId="18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2" xfId="0" applyFill="1" applyBorder="1"/>
    <xf numFmtId="0" fontId="0" fillId="0" borderId="0" xfId="0" applyFill="1" applyBorder="1"/>
    <xf numFmtId="2" fontId="0" fillId="0" borderId="22" xfId="0" applyNumberFormat="1" applyFill="1" applyBorder="1"/>
    <xf numFmtId="0" fontId="0" fillId="0" borderId="21" xfId="0" applyBorder="1"/>
    <xf numFmtId="0" fontId="0" fillId="0" borderId="24" xfId="0" applyFill="1" applyBorder="1"/>
    <xf numFmtId="0" fontId="0" fillId="0" borderId="2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ael.otoole@manchester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selection activeCell="J47" sqref="J47"/>
    </sheetView>
  </sheetViews>
  <sheetFormatPr baseColWidth="10" defaultColWidth="8.83203125" defaultRowHeight="15" x14ac:dyDescent="0.2"/>
  <cols>
    <col min="1" max="1" width="21.1640625" customWidth="1"/>
    <col min="2" max="2" width="38.5" customWidth="1"/>
    <col min="3" max="3" width="41.1640625" bestFit="1" customWidth="1"/>
    <col min="4" max="5" width="38.5" customWidth="1"/>
    <col min="8" max="8" width="11.33203125" customWidth="1"/>
    <col min="9" max="9" width="10.1640625" customWidth="1"/>
    <col min="12" max="12" width="16.83203125" bestFit="1" customWidth="1"/>
    <col min="13" max="13" width="19.5" bestFit="1" customWidth="1"/>
    <col min="14" max="14" width="22.6640625" bestFit="1" customWidth="1"/>
    <col min="15" max="15" width="21.6640625" customWidth="1"/>
  </cols>
  <sheetData>
    <row r="1" spans="1:15" s="3" customFormat="1" ht="19" x14ac:dyDescent="0.25">
      <c r="A1" s="2" t="s">
        <v>17</v>
      </c>
    </row>
    <row r="2" spans="1:15" ht="16" thickBot="1" x14ac:dyDescent="0.25"/>
    <row r="3" spans="1:15" x14ac:dyDescent="0.2">
      <c r="A3" s="6" t="s">
        <v>18</v>
      </c>
      <c r="B3" s="11" t="s">
        <v>76</v>
      </c>
      <c r="C3" s="20" t="s">
        <v>21</v>
      </c>
      <c r="D3" s="4" t="s">
        <v>23</v>
      </c>
      <c r="E3" s="4" t="s">
        <v>24</v>
      </c>
      <c r="I3" s="5"/>
    </row>
    <row r="4" spans="1:15" x14ac:dyDescent="0.2">
      <c r="A4" s="7"/>
      <c r="B4" s="8"/>
      <c r="C4" s="31" t="s">
        <v>79</v>
      </c>
      <c r="D4" s="23"/>
      <c r="E4" s="24" t="s">
        <v>25</v>
      </c>
      <c r="I4" s="5"/>
    </row>
    <row r="5" spans="1:15" x14ac:dyDescent="0.2">
      <c r="A5" s="7" t="s">
        <v>19</v>
      </c>
      <c r="B5" s="8" t="s">
        <v>78</v>
      </c>
      <c r="C5" s="21"/>
      <c r="D5" s="23"/>
      <c r="E5" s="24"/>
      <c r="H5" s="5"/>
      <c r="I5" s="5"/>
    </row>
    <row r="6" spans="1:15" x14ac:dyDescent="0.2">
      <c r="A6" s="18" t="s">
        <v>20</v>
      </c>
      <c r="B6" s="19" t="s">
        <v>77</v>
      </c>
      <c r="C6" s="21"/>
      <c r="D6" s="23"/>
      <c r="E6" s="24"/>
      <c r="H6" s="5"/>
      <c r="I6" s="5"/>
    </row>
    <row r="7" spans="1:15" ht="16" thickBot="1" x14ac:dyDescent="0.25">
      <c r="A7" s="9" t="s">
        <v>5</v>
      </c>
      <c r="B7" s="12">
        <v>46002</v>
      </c>
      <c r="C7" s="22"/>
      <c r="D7" s="23"/>
      <c r="E7" s="24"/>
      <c r="H7" s="5"/>
      <c r="I7" s="5" t="s">
        <v>22</v>
      </c>
    </row>
    <row r="8" spans="1:15" ht="16" thickBot="1" x14ac:dyDescent="0.25">
      <c r="L8" s="43" t="s">
        <v>75</v>
      </c>
      <c r="M8" s="43"/>
      <c r="N8" s="43"/>
      <c r="O8" s="43"/>
    </row>
    <row r="9" spans="1:15" x14ac:dyDescent="0.2">
      <c r="A9" s="32" t="s">
        <v>0</v>
      </c>
      <c r="B9" s="33" t="s">
        <v>1</v>
      </c>
      <c r="C9" s="33" t="s">
        <v>11</v>
      </c>
      <c r="D9" s="33" t="s">
        <v>15</v>
      </c>
      <c r="E9" s="33" t="s">
        <v>16</v>
      </c>
      <c r="F9" s="33" t="s">
        <v>2</v>
      </c>
      <c r="G9" s="33" t="s">
        <v>3</v>
      </c>
      <c r="H9" s="33" t="s">
        <v>4</v>
      </c>
      <c r="I9" s="34" t="s">
        <v>6</v>
      </c>
      <c r="L9" s="4" t="s">
        <v>71</v>
      </c>
      <c r="M9" s="4" t="s">
        <v>72</v>
      </c>
      <c r="N9" s="4" t="s">
        <v>73</v>
      </c>
      <c r="O9" s="4" t="s">
        <v>74</v>
      </c>
    </row>
    <row r="10" spans="1:15" x14ac:dyDescent="0.2">
      <c r="A10" s="4" t="s">
        <v>69</v>
      </c>
      <c r="B10" s="4" t="s">
        <v>26</v>
      </c>
      <c r="C10" s="4" t="s">
        <v>41</v>
      </c>
      <c r="D10" s="40" t="s">
        <v>67</v>
      </c>
      <c r="E10" s="40" t="s">
        <v>68</v>
      </c>
      <c r="F10" s="4">
        <v>25</v>
      </c>
      <c r="G10" s="41">
        <v>0.08</v>
      </c>
      <c r="H10" s="39">
        <f>F10*G10</f>
        <v>2</v>
      </c>
      <c r="I10" s="4"/>
      <c r="L10" s="36">
        <v>3</v>
      </c>
      <c r="M10" s="37">
        <f>F10-L10</f>
        <v>22</v>
      </c>
      <c r="N10" s="37">
        <f>F10-L10*6</f>
        <v>7</v>
      </c>
      <c r="O10" s="48"/>
    </row>
    <row r="11" spans="1:15" x14ac:dyDescent="0.2">
      <c r="A11" s="4" t="s">
        <v>69</v>
      </c>
      <c r="B11" s="4" t="s">
        <v>26</v>
      </c>
      <c r="C11" s="4" t="s">
        <v>42</v>
      </c>
      <c r="D11" s="40"/>
      <c r="E11" s="40"/>
      <c r="F11" s="4">
        <v>25</v>
      </c>
      <c r="G11" s="41">
        <v>6.8000000000000005E-2</v>
      </c>
      <c r="H11" s="39">
        <f t="shared" ref="H11:H44" si="0">F11*G11</f>
        <v>1.7000000000000002</v>
      </c>
      <c r="I11" s="4"/>
      <c r="L11" s="27">
        <v>2</v>
      </c>
      <c r="M11" s="28">
        <f t="shared" ref="M11:M42" si="1">F11-L11</f>
        <v>23</v>
      </c>
      <c r="N11" s="28">
        <f t="shared" ref="N11:N42" si="2">F11-L11*6</f>
        <v>13</v>
      </c>
      <c r="O11" s="29"/>
    </row>
    <row r="12" spans="1:15" x14ac:dyDescent="0.2">
      <c r="A12" s="4" t="s">
        <v>69</v>
      </c>
      <c r="B12" s="4" t="s">
        <v>26</v>
      </c>
      <c r="C12" s="4" t="s">
        <v>43</v>
      </c>
      <c r="D12" s="40"/>
      <c r="E12" s="40"/>
      <c r="F12" s="4">
        <v>25</v>
      </c>
      <c r="G12" s="41">
        <v>2.5999999999999999E-2</v>
      </c>
      <c r="H12" s="39">
        <f t="shared" si="0"/>
        <v>0.65</v>
      </c>
      <c r="I12" s="4"/>
      <c r="L12" s="27">
        <v>8</v>
      </c>
      <c r="M12" s="28">
        <f t="shared" si="1"/>
        <v>17</v>
      </c>
      <c r="N12" s="28">
        <f t="shared" si="2"/>
        <v>-23</v>
      </c>
      <c r="O12" s="29">
        <v>1</v>
      </c>
    </row>
    <row r="13" spans="1:15" x14ac:dyDescent="0.2">
      <c r="A13" s="4" t="s">
        <v>69</v>
      </c>
      <c r="B13" s="4" t="s">
        <v>27</v>
      </c>
      <c r="C13" s="4" t="s">
        <v>44</v>
      </c>
      <c r="D13" s="40"/>
      <c r="E13" s="40"/>
      <c r="F13" s="4">
        <v>25</v>
      </c>
      <c r="G13" s="41">
        <v>4.8000000000000001E-2</v>
      </c>
      <c r="H13" s="39">
        <f t="shared" si="0"/>
        <v>1.2</v>
      </c>
      <c r="I13" s="4"/>
      <c r="L13" s="27">
        <v>8</v>
      </c>
      <c r="M13" s="28">
        <f t="shared" si="1"/>
        <v>17</v>
      </c>
      <c r="N13" s="28">
        <f t="shared" si="2"/>
        <v>-23</v>
      </c>
      <c r="O13" s="29">
        <v>1</v>
      </c>
    </row>
    <row r="14" spans="1:15" x14ac:dyDescent="0.2">
      <c r="A14" s="4" t="s">
        <v>69</v>
      </c>
      <c r="B14" s="4" t="s">
        <v>27</v>
      </c>
      <c r="C14" s="4" t="s">
        <v>45</v>
      </c>
      <c r="D14" s="40"/>
      <c r="E14" s="40"/>
      <c r="F14" s="4">
        <v>20</v>
      </c>
      <c r="G14" s="41">
        <v>9.2999999999999999E-2</v>
      </c>
      <c r="H14" s="39">
        <f t="shared" si="0"/>
        <v>1.8599999999999999</v>
      </c>
      <c r="I14" s="4"/>
      <c r="L14" s="27">
        <v>1</v>
      </c>
      <c r="M14" s="28">
        <f t="shared" si="1"/>
        <v>19</v>
      </c>
      <c r="N14" s="28">
        <f t="shared" si="2"/>
        <v>14</v>
      </c>
      <c r="O14" s="29"/>
    </row>
    <row r="15" spans="1:15" x14ac:dyDescent="0.2">
      <c r="A15" s="4" t="s">
        <v>69</v>
      </c>
      <c r="B15" s="4" t="s">
        <v>81</v>
      </c>
      <c r="C15" s="4" t="s">
        <v>46</v>
      </c>
      <c r="D15" s="40"/>
      <c r="E15" s="40"/>
      <c r="F15" s="4">
        <v>5</v>
      </c>
      <c r="G15" s="41">
        <v>9.8000000000000004E-2</v>
      </c>
      <c r="H15" s="39">
        <f t="shared" si="0"/>
        <v>0.49</v>
      </c>
      <c r="I15" s="4"/>
      <c r="L15" s="27">
        <v>2</v>
      </c>
      <c r="M15" s="28">
        <f t="shared" si="1"/>
        <v>3</v>
      </c>
      <c r="N15" s="28">
        <f t="shared" si="2"/>
        <v>-7</v>
      </c>
      <c r="O15" s="29">
        <v>2</v>
      </c>
    </row>
    <row r="16" spans="1:15" x14ac:dyDescent="0.2">
      <c r="A16" s="4" t="s">
        <v>69</v>
      </c>
      <c r="B16" s="4" t="s">
        <v>82</v>
      </c>
      <c r="C16" s="4" t="s">
        <v>47</v>
      </c>
      <c r="D16" s="40"/>
      <c r="E16" s="40"/>
      <c r="F16" s="4">
        <v>5</v>
      </c>
      <c r="G16" s="41">
        <v>0.27400000000000002</v>
      </c>
      <c r="H16" s="39">
        <f t="shared" si="0"/>
        <v>1.37</v>
      </c>
      <c r="I16" s="4"/>
      <c r="L16" s="27">
        <v>3</v>
      </c>
      <c r="M16" s="28">
        <f t="shared" si="1"/>
        <v>2</v>
      </c>
      <c r="N16" s="28">
        <f t="shared" si="2"/>
        <v>-13</v>
      </c>
      <c r="O16" s="29">
        <v>3</v>
      </c>
    </row>
    <row r="17" spans="1:15" x14ac:dyDescent="0.2">
      <c r="A17" s="4" t="s">
        <v>69</v>
      </c>
      <c r="B17" s="4" t="s">
        <v>83</v>
      </c>
      <c r="C17" s="4" t="s">
        <v>48</v>
      </c>
      <c r="D17" s="40"/>
      <c r="E17" s="40"/>
      <c r="F17" s="4">
        <v>5</v>
      </c>
      <c r="G17" s="41">
        <v>0.188</v>
      </c>
      <c r="H17" s="39">
        <f t="shared" si="0"/>
        <v>0.94</v>
      </c>
      <c r="I17" s="4"/>
      <c r="L17" s="27">
        <v>1</v>
      </c>
      <c r="M17" s="28">
        <f t="shared" si="1"/>
        <v>4</v>
      </c>
      <c r="N17" s="28">
        <f t="shared" si="2"/>
        <v>-1</v>
      </c>
      <c r="O17" s="29">
        <v>1</v>
      </c>
    </row>
    <row r="18" spans="1:15" x14ac:dyDescent="0.2">
      <c r="A18" s="4" t="s">
        <v>70</v>
      </c>
      <c r="B18" s="4" t="s">
        <v>28</v>
      </c>
      <c r="C18" s="4" t="s">
        <v>49</v>
      </c>
      <c r="D18" s="40"/>
      <c r="E18" s="40"/>
      <c r="F18" s="4">
        <v>1</v>
      </c>
      <c r="G18" s="41">
        <v>0.56000000000000005</v>
      </c>
      <c r="H18" s="39">
        <f t="shared" si="0"/>
        <v>0.56000000000000005</v>
      </c>
      <c r="I18" s="4"/>
      <c r="L18" s="27">
        <v>1</v>
      </c>
      <c r="M18" s="28">
        <f t="shared" si="1"/>
        <v>0</v>
      </c>
      <c r="N18" s="28">
        <f t="shared" si="2"/>
        <v>-5</v>
      </c>
      <c r="O18" s="29">
        <v>5</v>
      </c>
    </row>
    <row r="19" spans="1:15" x14ac:dyDescent="0.2">
      <c r="A19" s="4" t="s">
        <v>69</v>
      </c>
      <c r="B19" s="4" t="s">
        <v>29</v>
      </c>
      <c r="C19" s="4" t="s">
        <v>50</v>
      </c>
      <c r="D19" s="40"/>
      <c r="E19" s="40"/>
      <c r="F19" s="4">
        <v>10</v>
      </c>
      <c r="G19" s="41">
        <v>0.86399999999999999</v>
      </c>
      <c r="H19" s="39">
        <f t="shared" si="0"/>
        <v>8.64</v>
      </c>
      <c r="I19" s="4"/>
      <c r="L19" s="27">
        <v>1</v>
      </c>
      <c r="M19" s="28">
        <f t="shared" si="1"/>
        <v>9</v>
      </c>
      <c r="N19" s="28">
        <f t="shared" si="2"/>
        <v>4</v>
      </c>
      <c r="O19" s="29"/>
    </row>
    <row r="20" spans="1:15" x14ac:dyDescent="0.2">
      <c r="A20" s="4" t="s">
        <v>69</v>
      </c>
      <c r="B20" s="4" t="s">
        <v>30</v>
      </c>
      <c r="C20" s="4" t="s">
        <v>51</v>
      </c>
      <c r="D20" s="40"/>
      <c r="E20" s="40"/>
      <c r="F20" s="4">
        <v>10</v>
      </c>
      <c r="G20" s="41">
        <v>0.61699999999999999</v>
      </c>
      <c r="H20" s="39">
        <f t="shared" si="0"/>
        <v>6.17</v>
      </c>
      <c r="I20" s="4"/>
      <c r="L20" s="27">
        <v>3</v>
      </c>
      <c r="M20" s="28">
        <f t="shared" si="1"/>
        <v>7</v>
      </c>
      <c r="N20" s="28">
        <f t="shared" si="2"/>
        <v>-8</v>
      </c>
      <c r="O20" s="29">
        <v>1</v>
      </c>
    </row>
    <row r="21" spans="1:15" x14ac:dyDescent="0.2">
      <c r="A21" s="4" t="s">
        <v>70</v>
      </c>
      <c r="B21" s="4" t="s">
        <v>31</v>
      </c>
      <c r="C21" s="4" t="s">
        <v>52</v>
      </c>
      <c r="D21" s="40"/>
      <c r="E21" s="40"/>
      <c r="F21" s="4">
        <v>1</v>
      </c>
      <c r="G21" s="41">
        <v>1.99</v>
      </c>
      <c r="H21" s="39">
        <f t="shared" si="0"/>
        <v>1.99</v>
      </c>
      <c r="I21" s="4"/>
      <c r="L21" s="27">
        <v>1</v>
      </c>
      <c r="M21" s="28">
        <f t="shared" si="1"/>
        <v>0</v>
      </c>
      <c r="N21" s="28">
        <f t="shared" si="2"/>
        <v>-5</v>
      </c>
      <c r="O21" s="29">
        <v>5</v>
      </c>
    </row>
    <row r="22" spans="1:15" x14ac:dyDescent="0.2">
      <c r="A22" s="4" t="s">
        <v>70</v>
      </c>
      <c r="B22" s="4" t="s">
        <v>32</v>
      </c>
      <c r="C22" s="4" t="s">
        <v>53</v>
      </c>
      <c r="D22" s="40"/>
      <c r="E22" s="40"/>
      <c r="F22" s="4">
        <v>5</v>
      </c>
      <c r="G22" s="41">
        <v>0.246</v>
      </c>
      <c r="H22" s="39">
        <f t="shared" si="0"/>
        <v>1.23</v>
      </c>
      <c r="I22" s="4"/>
      <c r="L22" s="27">
        <v>1</v>
      </c>
      <c r="M22" s="28">
        <f t="shared" si="1"/>
        <v>4</v>
      </c>
      <c r="N22" s="28">
        <f t="shared" si="2"/>
        <v>-1</v>
      </c>
      <c r="O22" s="29">
        <v>1</v>
      </c>
    </row>
    <row r="23" spans="1:15" x14ac:dyDescent="0.2">
      <c r="A23" s="4" t="s">
        <v>70</v>
      </c>
      <c r="B23" s="4" t="s">
        <v>33</v>
      </c>
      <c r="C23" s="4" t="s">
        <v>54</v>
      </c>
      <c r="D23" s="40"/>
      <c r="E23" s="40"/>
      <c r="F23" s="4">
        <v>5</v>
      </c>
      <c r="G23" s="41">
        <v>0.33900000000000002</v>
      </c>
      <c r="H23" s="39">
        <f t="shared" si="0"/>
        <v>1.6950000000000001</v>
      </c>
      <c r="I23" s="4"/>
      <c r="L23" s="27">
        <v>1</v>
      </c>
      <c r="M23" s="28">
        <f t="shared" si="1"/>
        <v>4</v>
      </c>
      <c r="N23" s="28">
        <f t="shared" si="2"/>
        <v>-1</v>
      </c>
      <c r="O23" s="29">
        <v>1</v>
      </c>
    </row>
    <row r="24" spans="1:15" x14ac:dyDescent="0.2">
      <c r="A24" s="4" t="s">
        <v>69</v>
      </c>
      <c r="B24" s="4" t="s">
        <v>34</v>
      </c>
      <c r="C24" s="4" t="s">
        <v>55</v>
      </c>
      <c r="D24" s="40"/>
      <c r="E24" s="40"/>
      <c r="F24" s="4">
        <v>5</v>
      </c>
      <c r="G24" s="41">
        <v>0.88800000000000001</v>
      </c>
      <c r="H24" s="39">
        <f t="shared" si="0"/>
        <v>4.4400000000000004</v>
      </c>
      <c r="I24" s="4"/>
      <c r="L24" s="27">
        <v>1</v>
      </c>
      <c r="M24" s="28">
        <f t="shared" si="1"/>
        <v>4</v>
      </c>
      <c r="N24" s="28">
        <f t="shared" si="2"/>
        <v>-1</v>
      </c>
      <c r="O24" s="29">
        <v>1</v>
      </c>
    </row>
    <row r="25" spans="1:15" x14ac:dyDescent="0.2">
      <c r="A25" s="4" t="s">
        <v>69</v>
      </c>
      <c r="B25" s="4" t="s">
        <v>35</v>
      </c>
      <c r="C25" s="4" t="s">
        <v>56</v>
      </c>
      <c r="D25" s="40"/>
      <c r="E25" s="40"/>
      <c r="F25" s="4">
        <v>50</v>
      </c>
      <c r="G25" s="41">
        <v>1.4999999999999999E-2</v>
      </c>
      <c r="H25" s="39">
        <f t="shared" si="0"/>
        <v>0.75</v>
      </c>
      <c r="I25" s="4"/>
      <c r="L25" s="27">
        <v>1</v>
      </c>
      <c r="M25" s="28">
        <f t="shared" si="1"/>
        <v>49</v>
      </c>
      <c r="N25" s="28">
        <f t="shared" si="2"/>
        <v>44</v>
      </c>
      <c r="O25" s="29"/>
    </row>
    <row r="26" spans="1:15" x14ac:dyDescent="0.2">
      <c r="A26" s="4" t="s">
        <v>69</v>
      </c>
      <c r="B26" s="4" t="s">
        <v>35</v>
      </c>
      <c r="C26" s="4" t="s">
        <v>56</v>
      </c>
      <c r="D26" s="40"/>
      <c r="E26" s="40"/>
      <c r="F26" s="4">
        <v>50</v>
      </c>
      <c r="G26" s="41">
        <v>1.4999999999999999E-2</v>
      </c>
      <c r="H26" s="39">
        <f t="shared" si="0"/>
        <v>0.75</v>
      </c>
      <c r="I26" s="4"/>
      <c r="L26" s="27">
        <v>1</v>
      </c>
      <c r="M26" s="28">
        <f t="shared" si="1"/>
        <v>49</v>
      </c>
      <c r="N26" s="28">
        <f t="shared" si="2"/>
        <v>44</v>
      </c>
      <c r="O26" s="29"/>
    </row>
    <row r="27" spans="1:15" x14ac:dyDescent="0.2">
      <c r="A27" s="4" t="s">
        <v>69</v>
      </c>
      <c r="B27" s="4" t="s">
        <v>35</v>
      </c>
      <c r="C27" s="4" t="s">
        <v>56</v>
      </c>
      <c r="D27" s="40"/>
      <c r="E27" s="40"/>
      <c r="F27" s="4">
        <v>50</v>
      </c>
      <c r="G27" s="41">
        <v>1.4999999999999999E-2</v>
      </c>
      <c r="H27" s="39">
        <f t="shared" si="0"/>
        <v>0.75</v>
      </c>
      <c r="I27" s="4"/>
      <c r="L27" s="27">
        <v>1</v>
      </c>
      <c r="M27" s="28">
        <f t="shared" si="1"/>
        <v>49</v>
      </c>
      <c r="N27" s="28">
        <f t="shared" si="2"/>
        <v>44</v>
      </c>
      <c r="O27" s="29"/>
    </row>
    <row r="28" spans="1:15" x14ac:dyDescent="0.2">
      <c r="A28" s="4" t="s">
        <v>70</v>
      </c>
      <c r="B28" s="4" t="s">
        <v>36</v>
      </c>
      <c r="C28" s="4" t="s">
        <v>57</v>
      </c>
      <c r="D28" s="40"/>
      <c r="E28" s="40"/>
      <c r="F28" s="4">
        <v>10</v>
      </c>
      <c r="G28" s="41">
        <v>0.51300000000000001</v>
      </c>
      <c r="H28" s="39">
        <f t="shared" si="0"/>
        <v>5.13</v>
      </c>
      <c r="I28" s="4"/>
      <c r="L28" s="27">
        <v>1</v>
      </c>
      <c r="M28" s="28">
        <f t="shared" si="1"/>
        <v>9</v>
      </c>
      <c r="N28" s="28">
        <f t="shared" si="2"/>
        <v>4</v>
      </c>
      <c r="O28" s="29"/>
    </row>
    <row r="29" spans="1:15" x14ac:dyDescent="0.2">
      <c r="A29" s="4" t="s">
        <v>70</v>
      </c>
      <c r="B29" s="4" t="s">
        <v>37</v>
      </c>
      <c r="C29" s="4" t="s">
        <v>58</v>
      </c>
      <c r="D29" s="40"/>
      <c r="E29" s="40"/>
      <c r="F29" s="4">
        <v>10</v>
      </c>
      <c r="G29" s="41">
        <v>1.18E-2</v>
      </c>
      <c r="H29" s="39">
        <f t="shared" si="0"/>
        <v>0.11799999999999999</v>
      </c>
      <c r="I29" s="4"/>
      <c r="L29" s="27">
        <v>1</v>
      </c>
      <c r="M29" s="28">
        <f t="shared" si="1"/>
        <v>9</v>
      </c>
      <c r="N29" s="28">
        <f t="shared" si="2"/>
        <v>4</v>
      </c>
      <c r="O29" s="29"/>
    </row>
    <row r="30" spans="1:15" x14ac:dyDescent="0.2">
      <c r="A30" s="4" t="s">
        <v>69</v>
      </c>
      <c r="B30" s="4" t="s">
        <v>38</v>
      </c>
      <c r="C30" s="4" t="s">
        <v>59</v>
      </c>
      <c r="D30" s="40"/>
      <c r="E30" s="40"/>
      <c r="F30" s="4">
        <v>5</v>
      </c>
      <c r="G30" s="41">
        <v>7.0000000000000007E-2</v>
      </c>
      <c r="H30" s="39">
        <f t="shared" si="0"/>
        <v>0.35000000000000003</v>
      </c>
      <c r="I30" s="4"/>
      <c r="L30" s="27">
        <v>3</v>
      </c>
      <c r="M30" s="28">
        <f t="shared" si="1"/>
        <v>2</v>
      </c>
      <c r="N30" s="28">
        <f t="shared" si="2"/>
        <v>-13</v>
      </c>
      <c r="O30" s="29">
        <v>3</v>
      </c>
    </row>
    <row r="31" spans="1:15" x14ac:dyDescent="0.2">
      <c r="A31" s="4" t="s">
        <v>70</v>
      </c>
      <c r="B31" s="4" t="s">
        <v>37</v>
      </c>
      <c r="C31" s="4" t="s">
        <v>60</v>
      </c>
      <c r="D31" s="40"/>
      <c r="E31" s="40"/>
      <c r="F31" s="4">
        <v>10</v>
      </c>
      <c r="G31" s="41">
        <v>3.7199999999999997E-2</v>
      </c>
      <c r="H31" s="39">
        <f t="shared" si="0"/>
        <v>0.372</v>
      </c>
      <c r="I31" s="4"/>
      <c r="L31" s="27">
        <v>1</v>
      </c>
      <c r="M31" s="28">
        <f t="shared" si="1"/>
        <v>9</v>
      </c>
      <c r="N31" s="28">
        <f t="shared" si="2"/>
        <v>4</v>
      </c>
      <c r="O31" s="29"/>
    </row>
    <row r="32" spans="1:15" x14ac:dyDescent="0.2">
      <c r="A32" s="4" t="s">
        <v>69</v>
      </c>
      <c r="B32" s="4" t="s">
        <v>38</v>
      </c>
      <c r="C32" s="4" t="s">
        <v>61</v>
      </c>
      <c r="D32" s="40"/>
      <c r="E32" s="40"/>
      <c r="F32" s="4">
        <v>25</v>
      </c>
      <c r="G32" s="41">
        <v>5.0999999999999997E-2</v>
      </c>
      <c r="H32" s="39">
        <f t="shared" si="0"/>
        <v>1.2749999999999999</v>
      </c>
      <c r="I32" s="4"/>
      <c r="L32" s="27">
        <v>1</v>
      </c>
      <c r="M32" s="28">
        <f t="shared" si="1"/>
        <v>24</v>
      </c>
      <c r="N32" s="28">
        <f t="shared" si="2"/>
        <v>19</v>
      </c>
      <c r="O32" s="29"/>
    </row>
    <row r="33" spans="1:15" x14ac:dyDescent="0.2">
      <c r="A33" s="4" t="s">
        <v>69</v>
      </c>
      <c r="B33" s="4" t="s">
        <v>37</v>
      </c>
      <c r="C33" s="4" t="s">
        <v>62</v>
      </c>
      <c r="D33" s="40"/>
      <c r="E33" s="40"/>
      <c r="F33" s="4">
        <v>10</v>
      </c>
      <c r="G33" s="41">
        <v>6.0000000000000001E-3</v>
      </c>
      <c r="H33" s="39">
        <f t="shared" si="0"/>
        <v>0.06</v>
      </c>
      <c r="I33" s="4"/>
      <c r="L33" s="27">
        <v>1</v>
      </c>
      <c r="M33" s="28">
        <f t="shared" si="1"/>
        <v>9</v>
      </c>
      <c r="N33" s="28">
        <f t="shared" si="2"/>
        <v>4</v>
      </c>
      <c r="O33" s="29"/>
    </row>
    <row r="34" spans="1:15" x14ac:dyDescent="0.2">
      <c r="A34" s="4" t="s">
        <v>69</v>
      </c>
      <c r="B34" s="4" t="s">
        <v>38</v>
      </c>
      <c r="C34" s="4" t="s">
        <v>63</v>
      </c>
      <c r="D34" s="40"/>
      <c r="E34" s="40"/>
      <c r="F34" s="4">
        <v>25</v>
      </c>
      <c r="G34" s="41">
        <v>4.2000000000000003E-2</v>
      </c>
      <c r="H34" s="39">
        <f t="shared" si="0"/>
        <v>1.05</v>
      </c>
      <c r="I34" s="4"/>
      <c r="L34" s="27">
        <v>1</v>
      </c>
      <c r="M34" s="28">
        <f t="shared" si="1"/>
        <v>24</v>
      </c>
      <c r="N34" s="28">
        <f t="shared" si="2"/>
        <v>19</v>
      </c>
      <c r="O34" s="29"/>
    </row>
    <row r="35" spans="1:15" x14ac:dyDescent="0.2">
      <c r="A35" s="4" t="s">
        <v>70</v>
      </c>
      <c r="B35" s="4" t="s">
        <v>37</v>
      </c>
      <c r="C35" s="4" t="s">
        <v>64</v>
      </c>
      <c r="D35" s="40"/>
      <c r="E35" s="40"/>
      <c r="F35" s="4">
        <v>10</v>
      </c>
      <c r="G35" s="41">
        <v>0.1</v>
      </c>
      <c r="H35" s="39">
        <f t="shared" si="0"/>
        <v>1</v>
      </c>
      <c r="I35" s="4"/>
      <c r="L35" s="27">
        <v>1</v>
      </c>
      <c r="M35" s="28">
        <f>F35-L35</f>
        <v>9</v>
      </c>
      <c r="N35" s="28">
        <f t="shared" si="2"/>
        <v>4</v>
      </c>
      <c r="O35" s="29"/>
    </row>
    <row r="36" spans="1:15" x14ac:dyDescent="0.2">
      <c r="A36" s="4" t="s">
        <v>70</v>
      </c>
      <c r="B36" s="4" t="s">
        <v>37</v>
      </c>
      <c r="C36" s="4" t="s">
        <v>65</v>
      </c>
      <c r="D36" s="40"/>
      <c r="E36" s="40"/>
      <c r="F36" s="4">
        <v>10</v>
      </c>
      <c r="G36" s="41">
        <v>3.0099999999999998E-2</v>
      </c>
      <c r="H36" s="39">
        <f t="shared" si="0"/>
        <v>0.30099999999999999</v>
      </c>
      <c r="I36" s="4"/>
      <c r="L36" s="27">
        <v>1</v>
      </c>
      <c r="M36" s="28">
        <f t="shared" si="1"/>
        <v>9</v>
      </c>
      <c r="N36" s="28">
        <f t="shared" si="2"/>
        <v>4</v>
      </c>
      <c r="O36" s="29"/>
    </row>
    <row r="37" spans="1:15" x14ac:dyDescent="0.2">
      <c r="A37" s="4" t="s">
        <v>69</v>
      </c>
      <c r="B37" s="4" t="s">
        <v>37</v>
      </c>
      <c r="C37" s="4" t="s">
        <v>66</v>
      </c>
      <c r="D37" s="40"/>
      <c r="E37" s="40"/>
      <c r="F37" s="4">
        <v>10</v>
      </c>
      <c r="G37" s="41">
        <v>1.2999999999999999E-2</v>
      </c>
      <c r="H37" s="39">
        <f t="shared" si="0"/>
        <v>0.13</v>
      </c>
      <c r="I37" s="4"/>
      <c r="L37" s="27">
        <v>1</v>
      </c>
      <c r="M37" s="28">
        <f t="shared" si="1"/>
        <v>9</v>
      </c>
      <c r="N37" s="28">
        <f t="shared" si="2"/>
        <v>4</v>
      </c>
      <c r="O37" s="29"/>
    </row>
    <row r="38" spans="1:15" x14ac:dyDescent="0.2">
      <c r="A38" s="4" t="s">
        <v>69</v>
      </c>
      <c r="B38" s="4" t="s">
        <v>39</v>
      </c>
      <c r="C38" s="4" t="s">
        <v>80</v>
      </c>
      <c r="D38" s="38" t="s">
        <v>91</v>
      </c>
      <c r="E38" s="38" t="s">
        <v>92</v>
      </c>
      <c r="F38" s="4">
        <v>10</v>
      </c>
      <c r="G38" s="39">
        <v>5.8000000000000003E-2</v>
      </c>
      <c r="H38" s="39">
        <f t="shared" si="0"/>
        <v>0.58000000000000007</v>
      </c>
      <c r="I38" s="4"/>
      <c r="L38" s="47"/>
      <c r="M38" s="46"/>
      <c r="N38" s="46"/>
      <c r="O38" s="29"/>
    </row>
    <row r="39" spans="1:15" x14ac:dyDescent="0.2">
      <c r="A39" s="4" t="s">
        <v>69</v>
      </c>
      <c r="B39" s="4" t="s">
        <v>40</v>
      </c>
      <c r="C39" s="4" t="s">
        <v>84</v>
      </c>
      <c r="D39" s="25"/>
      <c r="E39" s="25"/>
      <c r="F39" s="42">
        <v>10</v>
      </c>
      <c r="G39" s="4">
        <v>7.22E-2</v>
      </c>
      <c r="H39" s="39">
        <f t="shared" si="0"/>
        <v>0.72199999999999998</v>
      </c>
      <c r="I39" s="4"/>
      <c r="L39" s="45">
        <v>3</v>
      </c>
      <c r="M39" s="46">
        <f t="shared" si="1"/>
        <v>7</v>
      </c>
      <c r="N39" s="46">
        <f t="shared" si="2"/>
        <v>-8</v>
      </c>
      <c r="O39" s="29">
        <v>1</v>
      </c>
    </row>
    <row r="40" spans="1:15" x14ac:dyDescent="0.2">
      <c r="A40" s="42" t="s">
        <v>69</v>
      </c>
      <c r="B40" s="42" t="s">
        <v>87</v>
      </c>
      <c r="C40" s="4" t="s">
        <v>86</v>
      </c>
      <c r="D40" s="25"/>
      <c r="E40" s="25"/>
      <c r="F40" s="4">
        <v>100</v>
      </c>
      <c r="G40" s="39">
        <v>2.5999999999999999E-2</v>
      </c>
      <c r="H40" s="39">
        <f t="shared" si="0"/>
        <v>2.6</v>
      </c>
      <c r="I40" s="4"/>
      <c r="L40" s="45">
        <v>15</v>
      </c>
      <c r="M40" s="46">
        <f t="shared" si="1"/>
        <v>85</v>
      </c>
      <c r="N40" s="46">
        <f t="shared" si="2"/>
        <v>10</v>
      </c>
      <c r="O40" s="29"/>
    </row>
    <row r="41" spans="1:15" x14ac:dyDescent="0.2">
      <c r="A41" s="4" t="s">
        <v>69</v>
      </c>
      <c r="B41" s="4" t="s">
        <v>85</v>
      </c>
      <c r="C41" t="s">
        <v>88</v>
      </c>
      <c r="D41" s="25"/>
      <c r="E41" s="25"/>
      <c r="F41" s="4">
        <v>5</v>
      </c>
      <c r="G41" s="39">
        <v>9.1999999999999998E-2</v>
      </c>
      <c r="H41" s="39">
        <f t="shared" si="0"/>
        <v>0.45999999999999996</v>
      </c>
      <c r="I41" s="4"/>
      <c r="L41" s="45">
        <v>1</v>
      </c>
      <c r="M41" s="46">
        <f t="shared" si="1"/>
        <v>4</v>
      </c>
      <c r="N41" s="46">
        <f t="shared" si="2"/>
        <v>-1</v>
      </c>
      <c r="O41" s="29">
        <v>1</v>
      </c>
    </row>
    <row r="42" spans="1:15" x14ac:dyDescent="0.2">
      <c r="A42" s="4" t="s">
        <v>69</v>
      </c>
      <c r="B42" s="42" t="s">
        <v>90</v>
      </c>
      <c r="C42" s="4" t="s">
        <v>89</v>
      </c>
      <c r="D42" s="26"/>
      <c r="E42" s="26"/>
      <c r="F42" s="4">
        <v>100</v>
      </c>
      <c r="G42" s="39">
        <v>4.2000000000000003E-2</v>
      </c>
      <c r="H42" s="39">
        <f t="shared" si="0"/>
        <v>4.2</v>
      </c>
      <c r="I42" s="4"/>
      <c r="L42" s="49">
        <v>4</v>
      </c>
      <c r="M42" s="50">
        <f t="shared" si="1"/>
        <v>96</v>
      </c>
      <c r="N42" s="50">
        <f t="shared" si="2"/>
        <v>76</v>
      </c>
      <c r="O42" s="30"/>
    </row>
    <row r="43" spans="1:15" x14ac:dyDescent="0.2">
      <c r="A43" s="4" t="s">
        <v>69</v>
      </c>
      <c r="B43" s="4" t="s">
        <v>94</v>
      </c>
      <c r="C43" s="4" t="s">
        <v>93</v>
      </c>
      <c r="D43" s="44" t="s">
        <v>95</v>
      </c>
      <c r="E43" s="44" t="s">
        <v>96</v>
      </c>
      <c r="F43" s="4">
        <v>1</v>
      </c>
      <c r="G43" s="39">
        <v>9.4499999999999993</v>
      </c>
      <c r="H43" s="39">
        <f t="shared" si="0"/>
        <v>9.4499999999999993</v>
      </c>
      <c r="I43" s="4"/>
    </row>
    <row r="44" spans="1:15" x14ac:dyDescent="0.2">
      <c r="A44" s="4"/>
      <c r="B44" s="4"/>
      <c r="C44" s="4"/>
      <c r="D44" s="4"/>
      <c r="E44" s="4"/>
      <c r="F44" s="4"/>
      <c r="G44" s="39"/>
      <c r="H44" s="39">
        <f t="shared" si="0"/>
        <v>0</v>
      </c>
      <c r="I44" s="4"/>
    </row>
    <row r="45" spans="1:15" x14ac:dyDescent="0.2">
      <c r="G45" s="13" t="s">
        <v>12</v>
      </c>
      <c r="H45" s="35">
        <f>SUM(H10:H44)</f>
        <v>64.983000000000004</v>
      </c>
    </row>
    <row r="46" spans="1:15" ht="16" thickBot="1" x14ac:dyDescent="0.25">
      <c r="A46" s="1" t="s">
        <v>7</v>
      </c>
      <c r="G46" s="13" t="s">
        <v>13</v>
      </c>
      <c r="H46" s="14">
        <f>H45*0.2</f>
        <v>12.996600000000001</v>
      </c>
    </row>
    <row r="47" spans="1:15" ht="17" thickTop="1" thickBot="1" x14ac:dyDescent="0.25">
      <c r="A47" s="6" t="s">
        <v>8</v>
      </c>
      <c r="B47" s="11"/>
      <c r="G47" s="15" t="s">
        <v>14</v>
      </c>
      <c r="H47" s="16">
        <f>H45+H46</f>
        <v>77.979600000000005</v>
      </c>
    </row>
    <row r="48" spans="1:15" x14ac:dyDescent="0.2">
      <c r="A48" s="7" t="s">
        <v>9</v>
      </c>
      <c r="B48" s="8"/>
    </row>
    <row r="49" spans="1:2" ht="16" thickBot="1" x14ac:dyDescent="0.25">
      <c r="A49" s="9" t="s">
        <v>10</v>
      </c>
      <c r="B49" s="10"/>
    </row>
    <row r="51" spans="1:2" s="1" customFormat="1" x14ac:dyDescent="0.2">
      <c r="A51" s="17"/>
    </row>
    <row r="52" spans="1:2" s="1" customFormat="1" x14ac:dyDescent="0.2"/>
  </sheetData>
  <mergeCells count="8">
    <mergeCell ref="L8:O8"/>
    <mergeCell ref="D38:D42"/>
    <mergeCell ref="E38:E42"/>
    <mergeCell ref="C4:C7"/>
    <mergeCell ref="D4:D7"/>
    <mergeCell ref="E4:E7"/>
    <mergeCell ref="D10:D37"/>
    <mergeCell ref="E10:E37"/>
  </mergeCells>
  <phoneticPr fontId="9" type="noConversion"/>
  <hyperlinks>
    <hyperlink ref="C4" r:id="rId1" xr:uid="{1738C3EA-34A6-864F-88EE-0B4CDA46D37B}"/>
  </hyperlinks>
  <pageMargins left="0.23622047244094491" right="0.23622047244094491" top="0.35433070866141736" bottom="0.35433070866141736" header="0.31496062992125984" footer="0.31496062992125984"/>
  <pageSetup paperSize="9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8BE8E1A1F5542915945E0B5785DEC" ma:contentTypeVersion="18" ma:contentTypeDescription="Create a new document." ma:contentTypeScope="" ma:versionID="b21a25f1a6e0542d16b41112dc88ae31">
  <xsd:schema xmlns:xsd="http://www.w3.org/2001/XMLSchema" xmlns:xs="http://www.w3.org/2001/XMLSchema" xmlns:p="http://schemas.microsoft.com/office/2006/metadata/properties" xmlns:ns2="25521fa9-ba5a-4e74-bd64-1e772cbf00e3" xmlns:ns3="6d0319ef-598f-40b8-9766-e11e97faa6c9" targetNamespace="http://schemas.microsoft.com/office/2006/metadata/properties" ma:root="true" ma:fieldsID="a422e32a0b5dac9ef8dbbde60bd60a38" ns2:_="" ns3:_="">
    <xsd:import namespace="25521fa9-ba5a-4e74-bd64-1e772cbf00e3"/>
    <xsd:import namespace="6d0319ef-598f-40b8-9766-e11e97faa6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21fa9-ba5a-4e74-bd64-1e772cbf00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63537c-d192-4dc4-bb87-a5632b1c7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319ef-598f-40b8-9766-e11e97faa6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1b47e4a-2305-4247-838b-49e68f1e6946}" ma:internalName="TaxCatchAll" ma:showField="CatchAllData" ma:web="6d0319ef-598f-40b8-9766-e11e97faa6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799157-1281-418A-BE24-C2EE7C554C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FF2634-F36A-446D-BA1E-1BBF76E3E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521fa9-ba5a-4e74-bd64-1e772cbf00e3"/>
    <ds:schemaRef ds:uri="6d0319ef-598f-40b8-9766-e11e97faa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Form</vt:lpstr>
      <vt:lpstr>'Order Form'!Print_Titles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Parker</dc:creator>
  <cp:lastModifiedBy>Archie James</cp:lastModifiedBy>
  <cp:lastPrinted>2018-11-01T16:28:03Z</cp:lastPrinted>
  <dcterms:created xsi:type="dcterms:W3CDTF">2018-10-29T16:59:09Z</dcterms:created>
  <dcterms:modified xsi:type="dcterms:W3CDTF">2025-12-11T22:46:40Z</dcterms:modified>
</cp:coreProperties>
</file>