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chiejames/coding/hexapod/hardware/smart_servo/"/>
    </mc:Choice>
  </mc:AlternateContent>
  <xr:revisionPtr revIDLastSave="0" documentId="13_ncr:1_{876F053B-62A6-FF4A-BB97-B8F20F0BF2C8}" xr6:coauthVersionLast="47" xr6:coauthVersionMax="47" xr10:uidLastSave="{00000000-0000-0000-0000-000000000000}"/>
  <bookViews>
    <workbookView xWindow="-34680" yWindow="-1460" windowWidth="28800" windowHeight="17500" xr2:uid="{8E538B95-D67E-114E-A11A-8F0128F4B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16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</calcChain>
</file>

<file path=xl/sharedStrings.xml><?xml version="1.0" encoding="utf-8"?>
<sst xmlns="http://schemas.openxmlformats.org/spreadsheetml/2006/main" count="81" uniqueCount="55">
  <si>
    <t>Quantity</t>
  </si>
  <si>
    <t>Matched Part Number</t>
  </si>
  <si>
    <t>Description</t>
  </si>
  <si>
    <t>Selected Distributor</t>
  </si>
  <si>
    <t>SKU</t>
  </si>
  <si>
    <t>Distributor Link</t>
  </si>
  <si>
    <t>TL431IDBZR,215</t>
  </si>
  <si>
    <t>STM32F042F6P6</t>
  </si>
  <si>
    <t>DRV8837DSGR</t>
  </si>
  <si>
    <t>217179-0001</t>
  </si>
  <si>
    <t>Voltage Reference, Precision, Shunt - Adjustable, AEC-Q100 TL431 Series, 2.495V to 36V, SOT-23-3</t>
  </si>
  <si>
    <t>https://uk.farnell.com/stmicroelectronics/stm32f042f6p6/mcu-32bit-cortex-m0-48mhz-tssop/dp/2469549?CMP=GRHB-OCTOPART</t>
  </si>
  <si>
    <t>https://uk.farnell.com/molex/217179-0001/usb-conn-2-0-type-c-rcpt-16pos/dp/3702965?CMP=GRHB-OCTOPART</t>
  </si>
  <si>
    <t>https://uk.farnell.com/texas-instruments/drv8837dsgr/motor-driver-dc-brushed-1-8a-wson/dp/3005855</t>
  </si>
  <si>
    <t>https://uk.farnell.com/nexperia/tl431idbzr-215/voltage-ref-shunt-2-495v-36v-sot/dp/2095480</t>
  </si>
  <si>
    <t>Farnell</t>
  </si>
  <si>
    <t>ARM MCU, USB Line, STM32 Family STM32F0 Series Microcontrollers, ARM Cortex-M0, 32 bit, 48 MHz</t>
  </si>
  <si>
    <t>Motor Driver, Low Voltage H Bridge, 2 Outputs, 1.8 V to 7 V Supply, 0 V to 11 V/1.8 A Out, WSON-8</t>
  </si>
  <si>
    <t>USB Connector, USB Type C, USB 2.0, Receptacle, 16 Ways, Surface Mount, Through Hole Mount</t>
  </si>
  <si>
    <t>MCP1703T-3302E/CB</t>
  </si>
  <si>
    <t>Fixed LDO Voltage Regulator, 2.7V to 16V, 525mV Dropout, 3.3Vout, 250mAout, SOT-23A-3</t>
  </si>
  <si>
    <t>https://uk.farnell.com/microchip/mcp1703t-3302e-cb/v-reg-ldo-250ma-3-3v-sot-23a-3/dp/1439518</t>
  </si>
  <si>
    <t>B5B-PH-K-S(LF)(SN)</t>
  </si>
  <si>
    <t>Pin Header, Wire-to-Board, 2 mm, 1 Rows, 5 Contacts, Through Hole Straight, PH</t>
  </si>
  <si>
    <t>https://uk.farnell.com/jst-japan-solderless-terminals/b5b-ph-k-s-lf-sn/connector-header-tht-2mm-5way/dp/9492445?MER=sy-me-pd-mi-acce</t>
  </si>
  <si>
    <t>PHR-5</t>
  </si>
  <si>
    <t>Connector Housing, PH, Receptacle, 5 Ways, 2 mm, BPH and SPH Series Crimp Contacts</t>
  </si>
  <si>
    <t>https://uk.farnell.com/jst-japan-solderless-terminals/phr-5/housing-wire-board-5way-2mm/dp/3616216?MER=sy-me-pd-mi-acce</t>
  </si>
  <si>
    <t>B3B-PH-K-S(LF)(SN)</t>
  </si>
  <si>
    <t>Pin Header, Wire-to-Board, 2 mm, 1 Rows, 3 Contacts, Through Hole Straight, PH</t>
  </si>
  <si>
    <t>https://uk.farnell.com/jst-japan-solderless-terminals/b3b-ph-k-s-lf-sn/header-top-entry-3way/dp/9492429?MER=sy-me-pd-mi-acce</t>
  </si>
  <si>
    <t>https://uk.farnell.com/jst-japan-solderless-terminals/phr-3/housing-3way-2mm/dp/3616198</t>
  </si>
  <si>
    <t>Connector Housing, PH, Receptacle, 3 Ways, 2 mm, BPH and SPH Series Crimp Contacts</t>
  </si>
  <si>
    <t>PHR-3</t>
  </si>
  <si>
    <t>0805F106Z100CT</t>
  </si>
  <si>
    <t>SMD Multilayer Ceramic Capacitor, 10 µF, 10 V, 0805 [2012 Metric], -20%, +80%, Y5V</t>
  </si>
  <si>
    <t>https://uk.farnell.com/multicomp-pro/0805f106z100ct/cap-10-f-10v-y5v-0805-reel/dp/2495498</t>
  </si>
  <si>
    <t>0402B104K160CT</t>
  </si>
  <si>
    <t>SMD Multilayer Ceramic Capacitor, 0.1 µF, 16 V, 0402 [1005 Metric], ± 10%, X7R</t>
  </si>
  <si>
    <t>https://uk.farnell.com/multicomp-pro/0402b104k160ct/cap-0-1-f-16v-10-x7r-0402-reel/dp/2495270</t>
  </si>
  <si>
    <t>https://uk.farnell.com/te-connectivity/crg0402f120r/res-120r-1-0-063w-0402-thick-film/dp/2692935</t>
  </si>
  <si>
    <t>SMD Chip Resistor, 120 ohm, ± 1%, 62.5 mW, 0402 [1005 Metric], Thick Film, General Purpose</t>
  </si>
  <si>
    <t>CRG0402F120R</t>
  </si>
  <si>
    <t>CRCW040210K0FKED</t>
  </si>
  <si>
    <t>SMD Chip Resistor, 10 kohm, ± 1%, 100 mW, 0402 [1005 Metric], Thick Film, General Purpose</t>
  </si>
  <si>
    <t>https://uk.farnell.com/vishay/crcw040210k0fked/res-10k-1-0-063w-0402-thick-film/dp/2121730</t>
  </si>
  <si>
    <t>https://uk.farnell.com/vishay/crcw06035k10fkea/res-5k1-1-0-1w-0603-thick-film/dp/2122454</t>
  </si>
  <si>
    <t>SMD Chip Resistor, 5.1 kohm, ± 1%, 125 mW, 0603 [1608 Metric], Thick Film, General Purpose</t>
  </si>
  <si>
    <t>CRCW06035K10FKEA</t>
  </si>
  <si>
    <t>Ordered</t>
  </si>
  <si>
    <t>Checked</t>
  </si>
  <si>
    <t>✓</t>
  </si>
  <si>
    <t>Cost Per</t>
  </si>
  <si>
    <t>Cost Total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</si>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</sst>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0" tint="-4.9989318521683403E-2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3" xfId="0" applyBorder="1"/>
    <xf numFmtId="0" fontId="1" fillId="0" borderId="0" xfId="1" applyBorder="1"/>
    <xf numFmtId="164" fontId="0" fillId="0" borderId="5" xfId="0" applyNumberFormat="1" applyBorder="1"/>
    <xf numFmtId="164" fontId="3" fillId="0" borderId="4" xfId="0" applyNumberFormat="1" applyFont="1" applyBorder="1"/>
  </cellXfs>
  <cellStyles count="2">
    <cellStyle name="Hyperlink" xfId="1" builtinId="8"/>
    <cellStyle name="Normal" xfId="0" builtinId="0"/>
  </cellStyles>
  <dxfs count="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84F0F2-92C6-1C45-9E21-2D9B588EF3D4}" name="Table1" displayName="Table1" ref="A1:J15" totalsRowShown="0">
  <autoFilter ref="A1:J15" xr:uid="{D384F0F2-92C6-1C45-9E21-2D9B588EF3D4}"/>
  <tableColumns count="10">
    <tableColumn id="1" xr3:uid="{C51D441E-3478-CC48-BDAF-46C5A9CE874D}" name="Quantity"/>
    <tableColumn id="9" xr3:uid="{317E3C2E-27EB-1E46-8EA0-F3B25370659B}" name="Cost Per" dataDxfId="3"/>
    <tableColumn id="10" xr3:uid="{6538BE43-C6DD-1948-A094-777C8063F177}" name="Cost Total" dataDxfId="2">
      <calculatedColumnFormula>Table1[[#This Row],[Cost Per]]*Table1[[#This Row],[Quantity]]</calculatedColumnFormula>
    </tableColumn>
    <tableColumn id="2" xr3:uid="{C0459F43-A8D6-2643-92EB-179071257456}" name="Matched Part Number"/>
    <tableColumn id="3" xr3:uid="{B5ED8471-F010-344F-A02D-CBD82DC56F06}" name="Description"/>
    <tableColumn id="4" xr3:uid="{C02B9646-6D52-E54E-AFB8-942D6E69F41C}" name="Selected Distributor"/>
    <tableColumn id="5" xr3:uid="{892D66BC-7F16-0945-927B-F7E780CE850B}" name="SKU" dataDxfId="1"/>
    <tableColumn id="6" xr3:uid="{C3E9289B-1CAD-5744-92D9-A64409B7D81C}" name="Distributor Link" dataCellStyle="Hyperlink"/>
    <tableColumn id="7" xr3:uid="{02E2A6BC-5A2D-1944-88CE-4D92250A1657}" name="Checked" dataDxfId="0"/>
    <tableColumn id="8" xr3:uid="{D2AA5671-2717-3046-A999-FBF86FF751CC}" name="Ordere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k.farnell.com/vishay/crcw040210k0fked/res-10k-1-0-063w-0402-thick-film/dp/2121730" TargetMode="External"/><Relationship Id="rId13" Type="http://schemas.openxmlformats.org/officeDocument/2006/relationships/hyperlink" Target="https://uk.farnell.com/jst-japan-solderless-terminals/phr-3/housing-3way-2mm/dp/3616198" TargetMode="External"/><Relationship Id="rId3" Type="http://schemas.openxmlformats.org/officeDocument/2006/relationships/hyperlink" Target="https://uk.farnell.com/texas-instruments/drv8837dsgr/motor-driver-dc-brushed-1-8a-wson/dp/3005855" TargetMode="External"/><Relationship Id="rId7" Type="http://schemas.openxmlformats.org/officeDocument/2006/relationships/hyperlink" Target="https://uk.farnell.com/te-connectivity/crg0402f120r/res-120r-1-0-063w-0402-thick-film/dp/2692935" TargetMode="External"/><Relationship Id="rId12" Type="http://schemas.openxmlformats.org/officeDocument/2006/relationships/hyperlink" Target="https://uk.farnell.com/jst-japan-solderless-terminals/b3b-ph-k-s-lf-sn/header-top-entry-3way/dp/9492429?MER=sy-me-pd-mi-acce" TargetMode="External"/><Relationship Id="rId2" Type="http://schemas.openxmlformats.org/officeDocument/2006/relationships/hyperlink" Target="https://uk.farnell.com/molex/217179-0001/usb-conn-2-0-type-c-rcpt-16pos/dp/3702965?CMP=GRHB-OCTOPART" TargetMode="External"/><Relationship Id="rId1" Type="http://schemas.openxmlformats.org/officeDocument/2006/relationships/hyperlink" Target="https://uk.farnell.com/stmicroelectronics/stm32f042f6p6/mcu-32bit-cortex-m0-48mhz-tssop/dp/2469549?CMP=GRHB-OCTOPART" TargetMode="External"/><Relationship Id="rId6" Type="http://schemas.openxmlformats.org/officeDocument/2006/relationships/hyperlink" Target="https://uk.farnell.com/multicomp-pro/0402b104k160ct/cap-0-1-f-16v-10-x7r-0402-reel/dp/2495270" TargetMode="External"/><Relationship Id="rId11" Type="http://schemas.openxmlformats.org/officeDocument/2006/relationships/hyperlink" Target="https://uk.farnell.com/jst-japan-solderless-terminals/phr-5/housing-wire-board-5way-2mm/dp/3616216?MER=sy-me-pd-mi-acce" TargetMode="External"/><Relationship Id="rId5" Type="http://schemas.openxmlformats.org/officeDocument/2006/relationships/hyperlink" Target="https://uk.farnell.com/nexperia/tl431idbzr-215/voltage-ref-shunt-2-495v-36v-sot/dp/2095480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uk.farnell.com/jst-japan-solderless-terminals/b5b-ph-k-s-lf-sn/connector-header-tht-2mm-5way/dp/9492445?MER=sy-me-pd-mi-acce" TargetMode="External"/><Relationship Id="rId4" Type="http://schemas.openxmlformats.org/officeDocument/2006/relationships/hyperlink" Target="https://uk.farnell.com/microchip/mcp1703t-3302e-cb/v-reg-ldo-250ma-3-3v-sot-23a-3/dp/1439518" TargetMode="External"/><Relationship Id="rId9" Type="http://schemas.openxmlformats.org/officeDocument/2006/relationships/hyperlink" Target="https://uk.farnell.com/vishay/crcw06035k10fkea/res-5k1-1-0-1w-0603-thick-film/dp/2122454" TargetMode="External"/><Relationship Id="rId14" Type="http://schemas.openxmlformats.org/officeDocument/2006/relationships/hyperlink" Target="https://uk.farnell.com/multicomp-pro/0805f106z100ct/cap-10-f-10v-y5v-0805-reel/dp/24954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3FBE9-3146-604A-8A24-A4ADA8F83DD8}">
  <dimension ref="A1:J26"/>
  <sheetViews>
    <sheetView tabSelected="1" zoomScale="110" workbookViewId="0">
      <selection activeCell="D9" sqref="D9"/>
    </sheetView>
  </sheetViews>
  <sheetFormatPr baseColWidth="10" defaultRowHeight="16" x14ac:dyDescent="0.2"/>
  <cols>
    <col min="1" max="1" width="10.5" customWidth="1"/>
    <col min="2" max="2" width="10.33203125" customWidth="1"/>
    <col min="3" max="3" width="12.6640625" customWidth="1"/>
    <col min="4" max="4" width="21.83203125" customWidth="1"/>
    <col min="5" max="5" width="106.33203125" style="2" customWidth="1"/>
    <col min="6" max="6" width="10.33203125" customWidth="1"/>
    <col min="7" max="7" width="12" customWidth="1"/>
    <col min="8" max="8" width="12.6640625" customWidth="1"/>
  </cols>
  <sheetData>
    <row r="1" spans="1:10" x14ac:dyDescent="0.2">
      <c r="A1" t="s">
        <v>0</v>
      </c>
      <c r="B1" t="s">
        <v>52</v>
      </c>
      <c r="C1" t="s">
        <v>53</v>
      </c>
      <c r="D1" t="s">
        <v>1</v>
      </c>
      <c r="E1" t="s">
        <v>2</v>
      </c>
      <c r="F1" t="s">
        <v>3</v>
      </c>
      <c r="G1" s="3" t="s">
        <v>4</v>
      </c>
      <c r="H1" t="s">
        <v>5</v>
      </c>
      <c r="I1" t="s">
        <v>50</v>
      </c>
      <c r="J1" t="s">
        <v>49</v>
      </c>
    </row>
    <row r="2" spans="1:10" x14ac:dyDescent="0.2">
      <c r="A2">
        <v>1</v>
      </c>
      <c r="B2" s="4">
        <v>0.55400000000000005</v>
      </c>
      <c r="C2" s="4">
        <f>Table1[[#This Row],[Cost Per]]*Table1[[#This Row],[Quantity]]</f>
        <v>0.55400000000000005</v>
      </c>
      <c r="D2" t="s">
        <v>19</v>
      </c>
      <c r="E2" t="s">
        <v>20</v>
      </c>
      <c r="F2" t="s">
        <v>15</v>
      </c>
      <c r="G2" s="2">
        <v>1439518</v>
      </c>
      <c r="H2" s="1" t="s">
        <v>21</v>
      </c>
      <c r="I2" s="6" t="s">
        <v>51</v>
      </c>
    </row>
    <row r="3" spans="1:10" x14ac:dyDescent="0.2">
      <c r="A3">
        <v>1</v>
      </c>
      <c r="B3" s="4">
        <v>0.246</v>
      </c>
      <c r="C3" s="4">
        <f>Table1[[#This Row],[Cost Per]]*Table1[[#This Row],[Quantity]]</f>
        <v>0.246</v>
      </c>
      <c r="D3" t="s">
        <v>6</v>
      </c>
      <c r="E3" t="s">
        <v>10</v>
      </c>
      <c r="F3" t="s">
        <v>15</v>
      </c>
      <c r="G3" s="2">
        <v>2095480</v>
      </c>
      <c r="H3" s="1" t="s">
        <v>14</v>
      </c>
      <c r="I3" s="6" t="s">
        <v>51</v>
      </c>
    </row>
    <row r="4" spans="1:10" x14ac:dyDescent="0.2">
      <c r="A4">
        <v>1</v>
      </c>
      <c r="B4" s="4">
        <v>2.21</v>
      </c>
      <c r="C4" s="4">
        <f>Table1[[#This Row],[Cost Per]]*Table1[[#This Row],[Quantity]]</f>
        <v>2.21</v>
      </c>
      <c r="D4" t="s">
        <v>7</v>
      </c>
      <c r="E4" t="s">
        <v>16</v>
      </c>
      <c r="F4" t="s">
        <v>15</v>
      </c>
      <c r="G4" s="2">
        <v>2469549</v>
      </c>
      <c r="H4" s="1" t="s">
        <v>11</v>
      </c>
      <c r="I4" s="6" t="s">
        <v>51</v>
      </c>
    </row>
    <row r="5" spans="1:10" x14ac:dyDescent="0.2">
      <c r="A5">
        <v>1</v>
      </c>
      <c r="B5" s="4">
        <v>0.92100000000000004</v>
      </c>
      <c r="C5" s="4">
        <f>Table1[[#This Row],[Cost Per]]*Table1[[#This Row],[Quantity]]</f>
        <v>0.92100000000000004</v>
      </c>
      <c r="D5" t="s">
        <v>8</v>
      </c>
      <c r="E5" t="s">
        <v>17</v>
      </c>
      <c r="F5" t="s">
        <v>15</v>
      </c>
      <c r="G5" s="2">
        <v>3005855</v>
      </c>
      <c r="H5" s="1" t="s">
        <v>13</v>
      </c>
      <c r="I5" s="6" t="s">
        <v>51</v>
      </c>
    </row>
    <row r="6" spans="1:10" x14ac:dyDescent="0.2">
      <c r="A6">
        <v>1</v>
      </c>
      <c r="B6" s="4">
        <v>0.73499999999999999</v>
      </c>
      <c r="C6" s="4">
        <f>Table1[[#This Row],[Cost Per]]*Table1[[#This Row],[Quantity]]</f>
        <v>0.73499999999999999</v>
      </c>
      <c r="D6" t="s">
        <v>9</v>
      </c>
      <c r="E6" t="s">
        <v>18</v>
      </c>
      <c r="F6" t="s">
        <v>15</v>
      </c>
      <c r="G6" s="2">
        <v>3702965</v>
      </c>
      <c r="H6" s="1" t="s">
        <v>12</v>
      </c>
      <c r="I6" s="6" t="s">
        <v>51</v>
      </c>
    </row>
    <row r="7" spans="1:10" x14ac:dyDescent="0.2">
      <c r="A7">
        <v>1</v>
      </c>
      <c r="B7" s="4">
        <v>0.111</v>
      </c>
      <c r="C7" s="4">
        <f>Table1[[#This Row],[Cost Per]]*Table1[[#This Row],[Quantity]]</f>
        <v>0.111</v>
      </c>
      <c r="D7" t="s">
        <v>22</v>
      </c>
      <c r="E7" t="s">
        <v>23</v>
      </c>
      <c r="F7" t="s">
        <v>15</v>
      </c>
      <c r="G7" s="2">
        <v>9492445</v>
      </c>
      <c r="H7" s="1" t="s">
        <v>24</v>
      </c>
      <c r="I7" s="6" t="s">
        <v>51</v>
      </c>
    </row>
    <row r="8" spans="1:10" x14ac:dyDescent="0.2">
      <c r="A8">
        <v>1</v>
      </c>
      <c r="B8" s="4">
        <v>4.2799999999999998E-2</v>
      </c>
      <c r="C8" s="4">
        <f>Table1[[#This Row],[Cost Per]]*Table1[[#This Row],[Quantity]]</f>
        <v>4.2799999999999998E-2</v>
      </c>
      <c r="D8" t="s">
        <v>25</v>
      </c>
      <c r="E8" t="s">
        <v>26</v>
      </c>
      <c r="F8" t="s">
        <v>15</v>
      </c>
      <c r="G8" s="2">
        <v>3616216</v>
      </c>
      <c r="H8" s="1" t="s">
        <v>27</v>
      </c>
      <c r="I8" s="6" t="s">
        <v>51</v>
      </c>
    </row>
    <row r="9" spans="1:10" x14ac:dyDescent="0.2">
      <c r="A9">
        <v>1</v>
      </c>
      <c r="B9" s="4">
        <v>7.1900000000000006E-2</v>
      </c>
      <c r="C9" s="4">
        <f>Table1[[#This Row],[Cost Per]]*Table1[[#This Row],[Quantity]]</f>
        <v>7.1900000000000006E-2</v>
      </c>
      <c r="D9" t="s">
        <v>28</v>
      </c>
      <c r="E9" t="s">
        <v>29</v>
      </c>
      <c r="F9" t="s">
        <v>15</v>
      </c>
      <c r="G9" s="2">
        <v>9492429</v>
      </c>
      <c r="H9" s="1" t="s">
        <v>30</v>
      </c>
      <c r="I9" s="6" t="s">
        <v>51</v>
      </c>
    </row>
    <row r="10" spans="1:10" x14ac:dyDescent="0.2">
      <c r="A10">
        <v>1</v>
      </c>
      <c r="B10" s="4">
        <v>3.4799999999999998E-2</v>
      </c>
      <c r="C10" s="4">
        <f>Table1[[#This Row],[Cost Per]]*Table1[[#This Row],[Quantity]]</f>
        <v>3.4799999999999998E-2</v>
      </c>
      <c r="D10" t="s">
        <v>33</v>
      </c>
      <c r="E10" t="s">
        <v>32</v>
      </c>
      <c r="F10" t="s">
        <v>15</v>
      </c>
      <c r="G10" s="2">
        <v>3616198</v>
      </c>
      <c r="H10" s="1" t="s">
        <v>31</v>
      </c>
      <c r="I10" s="6" t="s">
        <v>51</v>
      </c>
    </row>
    <row r="11" spans="1:10" x14ac:dyDescent="0.2">
      <c r="A11">
        <v>2</v>
      </c>
      <c r="B11" s="4">
        <v>3.8399999999999997E-2</v>
      </c>
      <c r="C11" s="4">
        <f>Table1[[#This Row],[Cost Per]]*Table1[[#This Row],[Quantity]]</f>
        <v>7.6799999999999993E-2</v>
      </c>
      <c r="D11" t="s">
        <v>34</v>
      </c>
      <c r="E11" t="s">
        <v>35</v>
      </c>
      <c r="F11" t="s">
        <v>15</v>
      </c>
      <c r="G11" s="2">
        <v>2495498</v>
      </c>
      <c r="H11" s="1" t="s">
        <v>36</v>
      </c>
      <c r="I11" s="6" t="s">
        <v>51</v>
      </c>
    </row>
    <row r="12" spans="1:10" x14ac:dyDescent="0.2">
      <c r="A12">
        <v>3</v>
      </c>
      <c r="B12" s="4">
        <v>7.7000000000000002E-3</v>
      </c>
      <c r="C12" s="4">
        <f>Table1[[#This Row],[Cost Per]]*Table1[[#This Row],[Quantity]]</f>
        <v>2.3100000000000002E-2</v>
      </c>
      <c r="D12" t="s">
        <v>37</v>
      </c>
      <c r="E12" t="s">
        <v>38</v>
      </c>
      <c r="F12" t="s">
        <v>15</v>
      </c>
      <c r="G12" s="2">
        <v>2495270</v>
      </c>
      <c r="H12" s="1" t="s">
        <v>39</v>
      </c>
      <c r="I12" s="6" t="s">
        <v>51</v>
      </c>
    </row>
    <row r="13" spans="1:10" x14ac:dyDescent="0.2">
      <c r="A13">
        <v>2</v>
      </c>
      <c r="B13" s="4">
        <v>8.3000000000000001E-3</v>
      </c>
      <c r="C13" s="4">
        <f>Table1[[#This Row],[Cost Per]]*Table1[[#This Row],[Quantity]]</f>
        <v>1.66E-2</v>
      </c>
      <c r="D13" t="s">
        <v>48</v>
      </c>
      <c r="E13" t="s">
        <v>47</v>
      </c>
      <c r="F13" t="s">
        <v>15</v>
      </c>
      <c r="G13" s="2">
        <v>2122454</v>
      </c>
      <c r="H13" s="1" t="s">
        <v>46</v>
      </c>
      <c r="I13" s="6" t="s">
        <v>51</v>
      </c>
    </row>
    <row r="14" spans="1:10" x14ac:dyDescent="0.2">
      <c r="A14">
        <v>1</v>
      </c>
      <c r="B14" s="4">
        <v>1.9E-3</v>
      </c>
      <c r="C14" s="4">
        <f>Table1[[#This Row],[Cost Per]]*Table1[[#This Row],[Quantity]]</f>
        <v>1.9E-3</v>
      </c>
      <c r="D14" t="s">
        <v>42</v>
      </c>
      <c r="E14" t="s">
        <v>41</v>
      </c>
      <c r="F14" t="s">
        <v>15</v>
      </c>
      <c r="G14" s="2">
        <v>2692935</v>
      </c>
      <c r="H14" s="1" t="s">
        <v>40</v>
      </c>
      <c r="I14" s="6" t="s">
        <v>51</v>
      </c>
    </row>
    <row r="15" spans="1:10" x14ac:dyDescent="0.2">
      <c r="A15">
        <v>1</v>
      </c>
      <c r="B15" s="4">
        <v>2.8E-3</v>
      </c>
      <c r="C15" s="4">
        <f>Table1[[#This Row],[Cost Per]]*Table1[[#This Row],[Quantity]]</f>
        <v>2.8E-3</v>
      </c>
      <c r="D15" t="s">
        <v>43</v>
      </c>
      <c r="E15" t="s">
        <v>44</v>
      </c>
      <c r="F15" t="s">
        <v>15</v>
      </c>
      <c r="G15" s="2">
        <v>2121730</v>
      </c>
      <c r="H15" s="1" t="s">
        <v>45</v>
      </c>
      <c r="I15" s="5" t="s">
        <v>51</v>
      </c>
    </row>
    <row r="16" spans="1:10" x14ac:dyDescent="0.2">
      <c r="B16" s="10" t="s">
        <v>54</v>
      </c>
      <c r="C16" s="9">
        <f>SUM(Table1[Cost Total])</f>
        <v>5.0477000000000007</v>
      </c>
      <c r="G16" s="2"/>
      <c r="H16" s="8"/>
    </row>
    <row r="26" spans="4:4" x14ac:dyDescent="0.2">
      <c r="D26" s="7"/>
    </row>
  </sheetData>
  <hyperlinks>
    <hyperlink ref="H4" r:id="rId1" xr:uid="{4F9DA3F9-358D-E74F-8B9B-DC88EDD3F8F4}"/>
    <hyperlink ref="H6" r:id="rId2" xr:uid="{C8FBDD57-1889-6B45-8418-93558E8CF44D}"/>
    <hyperlink ref="H5" r:id="rId3" xr:uid="{7138B360-0F2A-A24E-AEA5-8735C25E121F}"/>
    <hyperlink ref="H2" r:id="rId4" xr:uid="{08C5C1D0-A7A8-1E4C-B348-0DBC344E9492}"/>
    <hyperlink ref="H3" r:id="rId5" xr:uid="{0DBE4F97-41B5-484F-AA7B-E08FD59B8AA6}"/>
    <hyperlink ref="H12" r:id="rId6" xr:uid="{6A83CA92-5821-9744-9602-B8186FBAFF0D}"/>
    <hyperlink ref="H14" r:id="rId7" xr:uid="{A8B297AB-E934-7943-A1B2-1EADB8A9BD20}"/>
    <hyperlink ref="H15" r:id="rId8" xr:uid="{8E3A9E41-911B-7C46-AC5A-1CB89B3D22FF}"/>
    <hyperlink ref="H13" r:id="rId9" xr:uid="{A6EC49BC-B92E-7844-A811-5C10C1EF45E2}"/>
    <hyperlink ref="H7" r:id="rId10" xr:uid="{B885B2AB-C7B8-BF44-83F8-7B89BF36A752}"/>
    <hyperlink ref="H8" r:id="rId11" xr:uid="{F14269E8-BCC2-EE48-BAB3-3A14E0B2046C}"/>
    <hyperlink ref="H9" r:id="rId12" xr:uid="{88E3612B-B366-3944-B421-9798DBEA5523}"/>
    <hyperlink ref="H10" r:id="rId13" xr:uid="{9A518077-B588-C641-8BAF-4320FDD75F80}"/>
    <hyperlink ref="H11" r:id="rId14" xr:uid="{AB806295-18EA-1F4B-9AB3-0BC2AAA6B1D4}"/>
  </hyperlinks>
  <pageMargins left="0.7" right="0.7" top="0.75" bottom="0.75" header="0.3" footer="0.3"/>
  <pageSetup paperSize="9" orientation="portrait" horizontalDpi="0" verticalDpi="0"/>
  <tableParts count="1"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Archie James</dc:creator>
  <cp:lastModifiedBy>Archie James</cp:lastModifiedBy>
  <dcterms:created xsi:type="dcterms:W3CDTF">2025-11-06T13:54:03Z</dcterms:created>
  <dcterms:modified xsi:type="dcterms:W3CDTF">2025-12-05T00:30:08Z</dcterms:modified>
</cp:coreProperties>
</file>